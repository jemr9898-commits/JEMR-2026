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GRAFICO" sheetId="1" state="visible" r:id="rId1"/>
    <sheet name="DATOS" sheetId="2" state="visible" r:id="rId2"/>
    <sheet name="CONDICIONES" sheetId="3" state="visible" r:id="rId3"/>
    <sheet name="USUARIOS" sheetId="4" state="visible" r:id="rId4"/>
    <sheet name="AUDITORIA" sheetId="5" state="visible" r:id="rId5"/>
  </sheets>
  <definedNames/>
  <calcPr calcId="191029" fullCalcOnLoad="1"/>
  <pivotCaches>
    <pivotCache cacheId="1" r:id="rId6"/>
  </pivotCaches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YYYY-MM-DD HH:MM:SS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sz val="10"/>
      <scheme val="minor"/>
    </font>
    <font>
      <name val="Calibri"/>
      <family val="2"/>
      <sz val="10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14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3" fontId="1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/>
    </xf>
    <xf numFmtId="0" fontId="0" fillId="0" borderId="0" pivotButton="1" quotePrefix="0" xfId="0"/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horizontal="left" indent="1"/>
    </xf>
    <xf numFmtId="2" fontId="0" fillId="0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Hipervínculo" xfId="1" builtinId="8"/>
  </cellStyles>
  <dxfs count="18">
    <dxf>
      <numFmt numFmtId="4" formatCode="#,##0.00"/>
    </dxf>
    <dxf>
      <alignment horizontal="center"/>
    </dxf>
    <dxf>
      <numFmt numFmtId="4" formatCode="#,##0.00"/>
    </dxf>
    <dxf>
      <alignment horizontal="center"/>
    </dxf>
    <dxf>
      <numFmt numFmtId="4" formatCode="#,##0.00"/>
    </dxf>
    <dxf>
      <alignment horizontal="center"/>
    </dxf>
    <dxf>
      <numFmt numFmtId="4" formatCode="#,##0.00"/>
    </dxf>
    <dxf>
      <alignment horizontal="center"/>
    </dxf>
    <dxf>
      <numFmt numFmtId="4" formatCode="#,##0.00"/>
    </dxf>
    <dxf>
      <alignment horizontal="center"/>
    </dxf>
    <dxf>
      <numFmt numFmtId="4" formatCode="#,##0.00"/>
    </dxf>
    <dxf>
      <alignment horizontal="center"/>
    </dxf>
    <dxf>
      <numFmt numFmtId="4" formatCode="#,##0.00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numFmt numFmtId="4" formatCode="#,##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pivotSource>
    <name>[ESTADO DE CUENTA DETALLADO.xlsx]GRAFICO!TablaDinámica1</name>
    <fmtId val="7"/>
  </pivotSource>
  <chart>
    <pivotFmts>
      <pivotFmt>
        <idx val="0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s-E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5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6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7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8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9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0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1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2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3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4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5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6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7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8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19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0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1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2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3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4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5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6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7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8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29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0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1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2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3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4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5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6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7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8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  <pivotFmt>
        <idx val="39"/>
        <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spPr>
      </pivotFmt>
    </pivotFmts>
    <plotArea>
      <layout>
        <manualLayout>
          <layoutTarget val="inner"/>
          <xMode val="edge"/>
          <yMode val="edge"/>
          <wMode val="factor"/>
          <hMode val="factor"/>
          <x val="0.04333589398886115"/>
          <y val="0.2067085885097696"/>
          <w val="0.3809523504683865"/>
          <h val="0.6507935987168271"/>
        </manualLayout>
      </layout>
      <doughnutChart>
        <varyColors val="1"/>
        <ser>
          <idx val="0"/>
          <order val="0"/>
          <tx>
            <strRef>
              <f>GRAFICO!$B$4:$B$5</f>
              <strCache>
                <ptCount val="1"/>
                <pt idx="0">
                  <v>PAGADA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multiLvlStrRef>
              <multiLvlStrCache>
                <lvl>
                  <pt idx="4">
                    <v>810006577</v>
                  </pt>
                </lvl>
                <lvl>
                  <pt idx="0">
                    <v>ALFA CASA DE REPRESENTACIONES</v>
                  </pt>
                  <pt idx="1">
                    <v>BIOQUIMICA</v>
                  </pt>
                  <pt idx="2">
                    <v>CALOX INTERNACIONAL</v>
                  </pt>
                  <pt idx="3">
                    <v>DROVEN PLUS</v>
                  </pt>
                  <pt idx="4">
                    <v>GENIA CARE</v>
                  </pt>
                  <pt idx="5">
                    <v>LABORATORIO BIOFAR</v>
                  </pt>
                  <pt idx="6">
                    <v>LABORATORIOS FISA</v>
                  </pt>
                  <pt idx="7">
                    <v>LABORATORIOS PONCE</v>
                  </pt>
                  <pt idx="8">
                    <v>QUALITYMED</v>
                  </pt>
                </lvl>
              </multiLvlStrCache>
              <f>GRAFICO!$A$6:$A$16</f>
            </multiLvlStrRef>
          </cat>
          <val>
            <numRef>
              <f>GRAFICO!$B$6:$B$16</f>
              <numCache>
                <formatCode>#,##0.00</formatCode>
                <ptCount val="9"/>
                <pt idx="6">
                  <v>3704.9584</v>
                </pt>
              </numCache>
            </numRef>
          </val>
        </ser>
        <ser>
          <idx val="1"/>
          <order val="1"/>
          <tx>
            <strRef>
              <f>GRAFICO!$C$4:$C$5</f>
              <strCache>
                <ptCount val="1"/>
                <pt idx="0">
                  <v>PENDIENTE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multiLvlStrRef>
              <multiLvlStrCache>
                <lvl>
                  <pt idx="4">
                    <v>810006577</v>
                  </pt>
                </lvl>
                <lvl>
                  <pt idx="0">
                    <v>ALFA CASA DE REPRESENTACIONES</v>
                  </pt>
                  <pt idx="1">
                    <v>BIOQUIMICA</v>
                  </pt>
                  <pt idx="2">
                    <v>CALOX INTERNACIONAL</v>
                  </pt>
                  <pt idx="3">
                    <v>DROVEN PLUS</v>
                  </pt>
                  <pt idx="4">
                    <v>GENIA CARE</v>
                  </pt>
                  <pt idx="5">
                    <v>LABORATORIO BIOFAR</v>
                  </pt>
                  <pt idx="6">
                    <v>LABORATORIOS FISA</v>
                  </pt>
                  <pt idx="7">
                    <v>LABORATORIOS PONCE</v>
                  </pt>
                  <pt idx="8">
                    <v>QUALITYMED</v>
                  </pt>
                </lvl>
              </multiLvlStrCache>
              <f>GRAFICO!$A$6:$A$16</f>
            </multiLvlStrRef>
          </cat>
          <val>
            <numRef>
              <f>GRAFICO!$C$6:$C$16</f>
              <numCache>
                <formatCode>#,##0.00</formatCode>
                <ptCount val="9"/>
                <pt idx="2">
                  <v>-5367.290000000001</v>
                </pt>
                <pt idx="4">
                  <v>-198.7776</v>
                </pt>
                <pt idx="8">
                  <v>-723.3299999999999</v>
                </pt>
              </numCache>
            </numRef>
          </val>
        </ser>
        <ser>
          <idx val="2"/>
          <order val="2"/>
          <tx>
            <strRef>
              <f>GRAFICO!$D$4:$D$5</f>
              <strCache>
                <ptCount val="1"/>
                <pt idx="0">
                  <v>PLICADA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multiLvlStrRef>
              <multiLvlStrCache>
                <lvl>
                  <pt idx="4">
                    <v>810006577</v>
                  </pt>
                </lvl>
                <lvl>
                  <pt idx="0">
                    <v>ALFA CASA DE REPRESENTACIONES</v>
                  </pt>
                  <pt idx="1">
                    <v>BIOQUIMICA</v>
                  </pt>
                  <pt idx="2">
                    <v>CALOX INTERNACIONAL</v>
                  </pt>
                  <pt idx="3">
                    <v>DROVEN PLUS</v>
                  </pt>
                  <pt idx="4">
                    <v>GENIA CARE</v>
                  </pt>
                  <pt idx="5">
                    <v>LABORATORIO BIOFAR</v>
                  </pt>
                  <pt idx="6">
                    <v>LABORATORIOS FISA</v>
                  </pt>
                  <pt idx="7">
                    <v>LABORATORIOS PONCE</v>
                  </pt>
                  <pt idx="8">
                    <v>QUALITYMED</v>
                  </pt>
                </lvl>
              </multiLvlStrCache>
              <f>GRAFICO!$A$6:$A$16</f>
            </multiLvlStrRef>
          </cat>
          <val>
            <numRef>
              <f>GRAFICO!$D$6:$D$16</f>
              <numCache>
                <formatCode>#,##0.00</formatCode>
                <ptCount val="9"/>
                <pt idx="7">
                  <v>-160.02</v>
                </pt>
              </numCache>
            </numRef>
          </val>
        </ser>
        <ser>
          <idx val="3"/>
          <order val="3"/>
          <tx>
            <strRef>
              <f>GRAFICO!$E$4:$E$5</f>
              <strCache>
                <ptCount val="1"/>
                <pt idx="0">
                  <v>VIGENTE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5"/>
            <bubble3D val="0"/>
            <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8"/>
            <bubble3D val="0"/>
            <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spPr>
          </dPt>
          <cat>
            <multiLvlStrRef>
              <multiLvlStrCache>
                <lvl>
                  <pt idx="4">
                    <v>810006577</v>
                  </pt>
                </lvl>
                <lvl>
                  <pt idx="0">
                    <v>ALFA CASA DE REPRESENTACIONES</v>
                  </pt>
                  <pt idx="1">
                    <v>BIOQUIMICA</v>
                  </pt>
                  <pt idx="2">
                    <v>CALOX INTERNACIONAL</v>
                  </pt>
                  <pt idx="3">
                    <v>DROVEN PLUS</v>
                  </pt>
                  <pt idx="4">
                    <v>GENIA CARE</v>
                  </pt>
                  <pt idx="5">
                    <v>LABORATORIO BIOFAR</v>
                  </pt>
                  <pt idx="6">
                    <v>LABORATORIOS FISA</v>
                  </pt>
                  <pt idx="7">
                    <v>LABORATORIOS PONCE</v>
                  </pt>
                  <pt idx="8">
                    <v>QUALITYMED</v>
                  </pt>
                </lvl>
              </multiLvlStrCache>
              <f>GRAFICO!$A$6:$A$16</f>
            </multiLvlStrRef>
          </cat>
          <val>
            <numRef>
              <f>GRAFICO!$E$6:$E$16</f>
              <numCache>
                <formatCode>#,##0.00</formatCode>
                <ptCount val="9"/>
                <pt idx="0">
                  <v>782.4607999999999</v>
                </pt>
                <pt idx="1">
                  <v>16631.28</v>
                </pt>
                <pt idx="2">
                  <v>16903.44</v>
                </pt>
                <pt idx="3">
                  <v>845.84</v>
                </pt>
                <pt idx="5">
                  <v>366</v>
                </pt>
                <pt idx="8">
                  <v>8099.23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E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19050</colOff>
      <row>0</row>
      <rowOff>23812</rowOff>
    </from>
    <to>
      <col>12</col>
      <colOff>209550</colOff>
      <row>14</row>
      <rowOff>100012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COMPRAS-06" refreshedDate="46318.594890625" createdVersion="7" refreshedVersion="7" minRefreshableVersion="3" recordCount="27" r:id="rId1">
  <cacheSource type="worksheet">
    <worksheetSource ref="A1:R1048576" sheet="DATOS"/>
  </cacheSource>
  <cacheFields count="18">
    <cacheField name="N°" uniqueList="1" numFmtId="0" sqlType="0" hierarchy="0" level="0" databaseField="1">
      <sharedItems count="0" containsBlank="1" containsInteger="1" containsNumber="1" containsString="0" minValue="1" maxValue="26"/>
    </cacheField>
    <cacheField name="PROVEEDOR" uniqueList="1" numFmtId="0" sqlType="0" hierarchy="0" level="0" databaseField="1">
      <sharedItems count="10" containsBlank="1">
        <s v="CALOX INTERNACIONAL"/>
        <s v="LABORATORIOS PONCE"/>
        <s v="QUALITYMED"/>
        <s v="BIOQUIMICA"/>
        <s v="ALFA CASA DE REPRESENTACIONES"/>
        <s v="GENIA CARE"/>
        <s v="LABORATORIOS FISA"/>
        <s v="LABORATORIO BIOFAR"/>
        <s v="DROVEN PLUS"/>
        <m/>
      </sharedItems>
    </cacheField>
    <cacheField name="TIPO" uniqueList="1" numFmtId="0" sqlType="0" hierarchy="0" level="0" databaseField="1">
      <sharedItems count="3" containsBlank="1">
        <s v="FC"/>
        <s v="NC"/>
        <m/>
      </sharedItems>
    </cacheField>
    <cacheField name="FACTURA" uniqueList="1" numFmtId="0" sqlType="0" hierarchy="0" level="0" databaseField="1">
      <sharedItems count="25" containsBlank="1" containsInteger="1" containsMixedTypes="1" containsNumber="1" minValue="61116184" maxValue="65006880">
        <n v="61116185"/>
        <n v="61116186"/>
        <n v="61116184"/>
        <n v="61116187"/>
        <n v="61116211"/>
        <n v="65006880"/>
        <n v="65006879"/>
        <s v="005175"/>
        <s v="C-00002284"/>
        <s v="00031235"/>
        <s v="00031236"/>
        <s v="0000004720"/>
        <s v="810006577"/>
        <s v="504260"/>
        <s v="504261"/>
        <s v="C-00002332"/>
        <s v="C-00002331"/>
        <s v="62916883"/>
        <s v="62916882"/>
        <s v="62916881"/>
        <s v="C-00001025"/>
        <s v="C-00001021"/>
        <s v="00004508"/>
        <s v="00012175"/>
        <m/>
      </sharedItems>
    </cacheField>
    <cacheField name="F FACTURA" uniqueList="1" numFmtId="0" sqlType="0" hierarchy="0" level="0" databaseField="1">
      <sharedItems count="0" containsBlank="1" containsDate="1" containsNonDate="0" containsString="0" minDate="2026-09-30T00:00:00" maxDate="2026-10-22T00:00:00"/>
    </cacheField>
    <cacheField name="F RECEPCION" uniqueList="1" numFmtId="0" sqlType="0" hierarchy="0" level="0" databaseField="1">
      <sharedItems count="0" containsBlank="1" containsDate="1" containsNonDate="0" containsString="0" minDate="2026-10-14T00:00:00" maxDate="2026-10-24T00:00:00"/>
    </cacheField>
    <cacheField name="CREDITO" uniqueList="1" numFmtId="0" sqlType="0" hierarchy="0" level="0" databaseField="1">
      <sharedItems count="0" containsBlank="1" containsInteger="1" containsNumber="1" containsString="0" minValue="0" maxValue="30"/>
    </cacheField>
    <cacheField name="VENCIMIENTO" uniqueList="1" numFmtId="0" sqlType="0" hierarchy="0" level="0" databaseField="1">
      <sharedItems count="0" containsBlank="1" containsDate="1" containsNonDate="0" containsString="0" minDate="2026-10-14T00:00:00" maxDate="2026-11-14T00:00:00"/>
    </cacheField>
    <cacheField name="DIAS" uniqueList="1" numFmtId="0" sqlType="0" hierarchy="0" level="0" databaseField="1">
      <sharedItems count="11" containsBlank="1" containsInteger="1" containsNumber="1" containsString="0" minValue="-21" maxValue="9">
        <n v="-13"/>
        <n v="-12"/>
        <n v="9"/>
        <n v="-21"/>
        <n v="-6"/>
        <n v="7"/>
        <n v="4"/>
        <n v="-19"/>
        <n v="2"/>
        <n v="0"/>
        <m/>
      </sharedItems>
    </cacheField>
    <cacheField name="TASA" uniqueList="1" numFmtId="0" sqlType="0" hierarchy="0" level="0" databaseField="1">
      <sharedItems count="0" containsBlank="1" containsNumber="1" containsString="0" minValue="847.44419447569" maxValue="883.396460858236"/>
    </cacheField>
    <cacheField name="SUB-TOTAL" uniqueList="1" numFmtId="0" sqlType="0" hierarchy="0" level="0" databaseField="1">
      <sharedItems count="0" containsBlank="1" containsNumber="1" containsString="0" minValue="-2353.98" maxValue="10139.52"/>
    </cacheField>
    <cacheField name="EXENTO" uniqueList="1" numFmtId="0" sqlType="0" hierarchy="0" level="0" databaseField="1">
      <sharedItems count="0" containsBlank="1" containsNumber="1" containsString="0" minValue="0" maxValue="10139.52"/>
    </cacheField>
    <cacheField name="BASE" uniqueList="1" numFmtId="0" sqlType="0" hierarchy="0" level="0" databaseField="1">
      <sharedItems count="0" containsBlank="1" containsNumber="1" containsString="0" minValue="0" maxValue="2188.25"/>
    </cacheField>
    <cacheField name="IVA" uniqueList="1" numFmtId="0" sqlType="0" hierarchy="0" level="0" databaseField="1">
      <sharedItems count="0" containsBlank="1" containsNumber="1" containsString="0" minValue="0" maxValue="350.12"/>
    </cacheField>
    <cacheField name="IVA NR" uniqueList="1" numFmtId="0" sqlType="0" hierarchy="0" level="0" databaseField="1">
      <sharedItems count="0" containsBlank="1" containsNumber="1" containsString="0" minValue="0" maxValue="87.53"/>
    </cacheField>
    <cacheField name="TOTAL" uniqueList="1" numFmtId="0" sqlType="0" hierarchy="0" level="0" databaseField="1">
      <sharedItems count="0" containsBlank="1" containsNumber="1" containsString="0" minValue="-2353.98" maxValue="10139.52"/>
    </cacheField>
    <cacheField name="TOTAL BS" uniqueList="1" numFmtId="0" sqlType="0" hierarchy="0" level="0" databaseField="1">
      <sharedItems count="0" containsBlank="1" containsNumber="1" containsString="0" minValue="-2079497.219999999" maxValue="8878675.759999992"/>
    </cacheField>
    <cacheField name="ESTADO" uniqueList="1" numFmtId="0" sqlType="0" hierarchy="0" level="0" databaseField="1">
      <sharedItems count="5" containsBlank="1">
        <s v="VIGENTE"/>
        <s v="PLICADA"/>
        <s v="PENDIENTE"/>
        <s v="PAGADA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7">
  <r>
    <n v="1"/>
    <x v="0"/>
    <x v="0"/>
    <x v="0"/>
    <d v="2026-10-09T00:00:00"/>
    <d v="2026-10-15T00:00:00"/>
    <n v="21"/>
    <d v="2026-11-05T00:00:00"/>
    <x v="0"/>
    <n v="875.6505"/>
    <n v="2938.8"/>
    <n v="2938.8"/>
    <n v="0"/>
    <n v="0"/>
    <n v="0"/>
    <n v="2938.8"/>
    <n v="2573361.6894"/>
    <x v="0"/>
  </r>
  <r>
    <n v="2"/>
    <x v="0"/>
    <x v="0"/>
    <x v="1"/>
    <d v="2026-10-09T00:00:00"/>
    <d v="2026-10-15T00:00:00"/>
    <n v="21"/>
    <d v="2026-11-05T00:00:00"/>
    <x v="0"/>
    <n v="875.6505"/>
    <n v="415.44"/>
    <n v="415.44"/>
    <n v="0"/>
    <n v="0"/>
    <n v="0"/>
    <n v="415.44"/>
    <n v="363780.24372"/>
    <x v="0"/>
  </r>
  <r>
    <n v="3"/>
    <x v="0"/>
    <x v="0"/>
    <x v="2"/>
    <d v="2026-10-09T00:00:00"/>
    <d v="2026-10-15T00:00:00"/>
    <n v="21"/>
    <d v="2026-11-05T00:00:00"/>
    <x v="0"/>
    <n v="875.6505"/>
    <n v="8592.24"/>
    <n v="8592.24"/>
    <n v="0"/>
    <n v="0"/>
    <n v="0"/>
    <n v="8592.24"/>
    <n v="7523799.252119999"/>
    <x v="0"/>
  </r>
  <r>
    <n v="4"/>
    <x v="0"/>
    <x v="0"/>
    <x v="3"/>
    <d v="2026-10-09T00:00:00"/>
    <d v="2026-10-15T00:00:00"/>
    <n v="21"/>
    <d v="2026-11-05T00:00:00"/>
    <x v="0"/>
    <n v="875.6505"/>
    <n v="1656.96"/>
    <n v="1656.96"/>
    <n v="0"/>
    <n v="0"/>
    <n v="0"/>
    <n v="1656.96"/>
    <n v="1450917.85248"/>
    <x v="0"/>
  </r>
  <r>
    <n v="5"/>
    <x v="0"/>
    <x v="0"/>
    <x v="4"/>
    <d v="2026-10-09T00:00:00"/>
    <d v="2026-10-15T00:00:00"/>
    <n v="21"/>
    <d v="2026-11-05T00:00:00"/>
    <x v="0"/>
    <n v="876.7976"/>
    <n v="384.96"/>
    <n v="384.96"/>
    <n v="0"/>
    <n v="0"/>
    <n v="0"/>
    <n v="384.96"/>
    <n v="337532.004096"/>
    <x v="0"/>
  </r>
  <r>
    <n v="6"/>
    <x v="0"/>
    <x v="0"/>
    <x v="5"/>
    <d v="2026-10-09T00:00:00"/>
    <d v="2026-10-14T00:00:00"/>
    <n v="21"/>
    <d v="2026-11-04T00:00:00"/>
    <x v="1"/>
    <n v="875.6505"/>
    <n v="1846.56"/>
    <n v="1846.56"/>
    <n v="0"/>
    <n v="0"/>
    <n v="0"/>
    <n v="1846.56"/>
    <n v="1616941.18728"/>
    <x v="0"/>
  </r>
  <r>
    <n v="7"/>
    <x v="0"/>
    <x v="0"/>
    <x v="6"/>
    <d v="2026-10-09T00:00:00"/>
    <d v="2026-10-14T00:00:00"/>
    <n v="21"/>
    <d v="2026-11-04T00:00:00"/>
    <x v="1"/>
    <n v="875.6505"/>
    <n v="1068.48"/>
    <n v="1068.48"/>
    <n v="0"/>
    <n v="0"/>
    <n v="0"/>
    <n v="1068.48"/>
    <n v="935615.0462399999"/>
    <x v="0"/>
  </r>
  <r>
    <n v="8"/>
    <x v="1"/>
    <x v="1"/>
    <x v="7"/>
    <d v="2026-10-09T00:00:00"/>
    <d v="2026-10-14T00:00:00"/>
    <n v="0"/>
    <d v="2026-10-14T00:00:00"/>
    <x v="2"/>
    <n v="847.44419447569"/>
    <n v="-160.02"/>
    <n v="160.02"/>
    <n v="0"/>
    <n v="0"/>
    <n v="0"/>
    <n v="-160.02"/>
    <n v="-135608.0199999999"/>
    <x v="1"/>
  </r>
  <r>
    <n v="9"/>
    <x v="2"/>
    <x v="0"/>
    <x v="8"/>
    <d v="2026-10-14T00:00:00"/>
    <d v="2026-10-14T00:00:00"/>
    <n v="21"/>
    <d v="2026-11-04T00:00:00"/>
    <x v="1"/>
    <n v="877.902796901009"/>
    <n v="2919.66"/>
    <n v="2919.66"/>
    <n v="0"/>
    <n v="0"/>
    <n v="0"/>
    <n v="2919.66"/>
    <n v="2563177.68"/>
    <x v="0"/>
  </r>
  <r>
    <n v="10"/>
    <x v="3"/>
    <x v="0"/>
    <x v="9"/>
    <d v="2026-10-09T00:00:00"/>
    <d v="2026-10-14T00:00:00"/>
    <n v="30"/>
    <d v="2026-11-13T00:00:00"/>
    <x v="3"/>
    <n v="875.650500220917"/>
    <n v="10139.52"/>
    <n v="10139.52"/>
    <n v="0"/>
    <n v="0"/>
    <n v="0"/>
    <n v="10139.52"/>
    <n v="8878675.759999992"/>
    <x v="0"/>
  </r>
  <r>
    <n v="11"/>
    <x v="3"/>
    <x v="0"/>
    <x v="10"/>
    <d v="2026-10-09T00:00:00"/>
    <d v="2026-10-14T00:00:00"/>
    <n v="30"/>
    <d v="2026-11-13T00:00:00"/>
    <x v="3"/>
    <n v="875.650500018485"/>
    <n v="6491.76"/>
    <n v="6491.76"/>
    <n v="0"/>
    <n v="0"/>
    <n v="0"/>
    <n v="6491.76"/>
    <n v="5684512.890000001"/>
    <x v="0"/>
  </r>
  <r>
    <n v="12"/>
    <x v="4"/>
    <x v="0"/>
    <x v="11"/>
    <d v="2026-10-14T00:00:00"/>
    <d v="2026-10-14T00:00:00"/>
    <n v="15"/>
    <d v="2026-10-29T00:00:00"/>
    <x v="4"/>
    <n v="877.909343743621"/>
    <n v="782"/>
    <n v="770.48"/>
    <n v="11.52"/>
    <n v="1.8432"/>
    <n v="0.4608"/>
    <n v="782.4607999999999"/>
    <n v="686929.6474331087"/>
    <x v="0"/>
  </r>
  <r>
    <n v="13"/>
    <x v="5"/>
    <x v="1"/>
    <x v="12"/>
    <d v="2026-10-16T00:00:00"/>
    <d v="2026-10-16T00:00:00"/>
    <n v="0"/>
    <d v="2026-10-16T00:00:00"/>
    <x v="5"/>
    <n v="880.12"/>
    <n v="-207.06"/>
    <n v="0"/>
    <n v="207.06"/>
    <n v="33.1296"/>
    <n v="8.282400000000001"/>
    <n v="-198.7776"/>
    <n v="-174948.141312"/>
    <x v="2"/>
  </r>
  <r>
    <n v="14"/>
    <x v="6"/>
    <x v="0"/>
    <x v="13"/>
    <d v="2026-09-30T00:00:00"/>
    <d v="2026-10-19T00:00:00"/>
    <n v="0"/>
    <d v="2026-10-19T00:00:00"/>
    <x v="6"/>
    <n v="859.062520436343"/>
    <n v="2188.25"/>
    <n v="0"/>
    <n v="2188.25"/>
    <n v="350.12"/>
    <n v="87.53"/>
    <n v="2275.78"/>
    <n v="1955037.302758621"/>
    <x v="3"/>
  </r>
  <r>
    <n v="15"/>
    <x v="6"/>
    <x v="0"/>
    <x v="14"/>
    <d v="2026-09-30T00:00:00"/>
    <d v="2026-10-19T00:00:00"/>
    <n v="0"/>
    <d v="2026-10-19T00:00:00"/>
    <x v="6"/>
    <n v="859.062520436343"/>
    <n v="1374.21"/>
    <n v="0"/>
    <n v="1374.21"/>
    <n v="219.8736"/>
    <n v="54.9684"/>
    <n v="1429.1784"/>
    <n v="1227753.59845718"/>
    <x v="3"/>
  </r>
  <r>
    <n v="16"/>
    <x v="2"/>
    <x v="0"/>
    <x v="15"/>
    <d v="2026-10-21T00:00:00"/>
    <d v="2026-10-21T00:00:00"/>
    <n v="21"/>
    <d v="2026-11-11T00:00:00"/>
    <x v="7"/>
    <n v="883.39585295694"/>
    <n v="3153.09"/>
    <n v="0"/>
    <n v="0"/>
    <n v="0"/>
    <n v="0"/>
    <n v="3153.09"/>
    <n v="2785426.629999998"/>
    <x v="0"/>
  </r>
  <r>
    <n v="17"/>
    <x v="2"/>
    <x v="0"/>
    <x v="16"/>
    <d v="2026-10-21T00:00:00"/>
    <d v="2026-10-21T00:00:00"/>
    <n v="21"/>
    <d v="2026-11-11T00:00:00"/>
    <x v="7"/>
    <n v="883.396460858236"/>
    <n v="2026.48"/>
    <n v="0"/>
    <n v="0"/>
    <n v="0"/>
    <n v="0"/>
    <n v="2026.48"/>
    <n v="1790185.259999998"/>
    <x v="0"/>
  </r>
  <r>
    <n v="18"/>
    <x v="0"/>
    <x v="1"/>
    <x v="17"/>
    <d v="2026-10-21T00:00:00"/>
    <d v="2026-10-21T00:00:00"/>
    <n v="0"/>
    <d v="2026-10-21T00:00:00"/>
    <x v="8"/>
    <n v="883.396296748961"/>
    <n v="-818.2"/>
    <n v="0"/>
    <n v="0"/>
    <n v="0"/>
    <n v="0"/>
    <n v="-818.2"/>
    <n v="-722794.85"/>
    <x v="2"/>
  </r>
  <r>
    <n v="19"/>
    <x v="0"/>
    <x v="1"/>
    <x v="18"/>
    <d v="2026-10-21T00:00:00"/>
    <d v="2026-10-21T00:00:00"/>
    <n v="0"/>
    <d v="2026-10-21T00:00:00"/>
    <x v="8"/>
    <n v="883.396299046517"/>
    <n v="-2195.11"/>
    <n v="0"/>
    <n v="0"/>
    <n v="0"/>
    <n v="0"/>
    <n v="-2195.11"/>
    <n v="-1939152.05"/>
    <x v="2"/>
  </r>
  <r>
    <n v="20"/>
    <x v="0"/>
    <x v="1"/>
    <x v="19"/>
    <d v="2026-10-21T00:00:00"/>
    <d v="2026-10-21T00:00:00"/>
    <n v="0"/>
    <d v="2026-10-21T00:00:00"/>
    <x v="8"/>
    <n v="883.396299033976"/>
    <n v="-2353.98"/>
    <n v="0"/>
    <n v="0"/>
    <n v="0"/>
    <n v="0"/>
    <n v="-2353.98"/>
    <n v="-2079497.219999999"/>
    <x v="2"/>
  </r>
  <r>
    <n v="21"/>
    <x v="2"/>
    <x v="1"/>
    <x v="20"/>
    <d v="2026-10-14T00:00:00"/>
    <d v="2026-10-23T00:00:00"/>
    <n v="0"/>
    <d v="2026-10-23T00:00:00"/>
    <x v="9"/>
    <n v="859.0628955185319"/>
    <n v="-464.58"/>
    <n v="0"/>
    <n v="0"/>
    <n v="0"/>
    <n v="0"/>
    <n v="-464.58"/>
    <n v="-399103.4399999995"/>
    <x v="2"/>
  </r>
  <r>
    <n v="22"/>
    <x v="2"/>
    <x v="1"/>
    <x v="21"/>
    <d v="2026-10-14T00:00:00"/>
    <d v="2026-10-23T00:00:00"/>
    <n v="0"/>
    <d v="2026-10-23T00:00:00"/>
    <x v="9"/>
    <n v="873.867246376811"/>
    <n v="-258.75"/>
    <n v="0"/>
    <n v="0"/>
    <n v="0"/>
    <n v="0"/>
    <n v="-258.75"/>
    <n v="-226113.1499999998"/>
    <x v="2"/>
  </r>
  <r>
    <n v="23"/>
    <x v="7"/>
    <x v="0"/>
    <x v="22"/>
    <d v="2026-10-15T00:00:00"/>
    <d v="2026-10-23T00:00:00"/>
    <n v="0"/>
    <d v="2026-10-23T00:00:00"/>
    <x v="9"/>
    <n v="879.12"/>
    <n v="366"/>
    <n v="0"/>
    <n v="0"/>
    <n v="0"/>
    <n v="0"/>
    <n v="366"/>
    <n v="321757.92"/>
    <x v="0"/>
  </r>
  <r>
    <n v="24"/>
    <x v="8"/>
    <x v="0"/>
    <x v="23"/>
    <d v="2026-10-19T00:00:00"/>
    <d v="2026-10-23T00:00:00"/>
    <n v="0"/>
    <d v="2026-10-23T00:00:00"/>
    <x v="9"/>
    <n v="881.069906838172"/>
    <n v="845.84"/>
    <n v="0"/>
    <n v="0"/>
    <n v="0"/>
    <n v="0"/>
    <n v="845.84"/>
    <n v="745244.1699999993"/>
    <x v="0"/>
  </r>
  <r>
    <n v="25"/>
    <x v="9"/>
    <x v="2"/>
    <x v="24"/>
    <m/>
    <m/>
    <m/>
    <m/>
    <x v="10"/>
    <m/>
    <m/>
    <m/>
    <m/>
    <m/>
    <m/>
    <m/>
    <m/>
    <x v="4"/>
  </r>
  <r>
    <n v="26"/>
    <x v="9"/>
    <x v="2"/>
    <x v="24"/>
    <m/>
    <m/>
    <m/>
    <m/>
    <x v="10"/>
    <m/>
    <m/>
    <m/>
    <m/>
    <m/>
    <m/>
    <m/>
    <m/>
    <x v="4"/>
  </r>
  <r>
    <m/>
    <x v="9"/>
    <x v="2"/>
    <x v="24"/>
    <m/>
    <m/>
    <m/>
    <m/>
    <x v="10"/>
    <m/>
    <m/>
    <m/>
    <m/>
    <m/>
    <m/>
    <m/>
    <m/>
    <x v="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1" dataOnRows="0" dataCaption="Valores" showError="0" showMissing="1" updatedVersion="7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7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4:F16" firstHeaderRow="1" firstDataRow="2" firstDataCol="1" rowPageCount="2" colPageCount="1"/>
  <pivotFields count="18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0" x="4"/>
        <item t="data" sd="0" x="3"/>
        <item t="data" sd="0" x="0"/>
        <item t="data" sd="0" x="8"/>
        <item t="data" sd="1" x="5"/>
        <item t="data" sd="0" x="7"/>
        <item t="data" sd="0" x="6"/>
        <item t="data" sd="0" x="1"/>
        <item t="data" sd="0" x="2"/>
        <item t="data" h="1" sd="1" x="9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h="1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26">
        <item t="data" sd="1" x="2"/>
        <item t="data" sd="1" x="0"/>
        <item t="data" sd="1" x="1"/>
        <item t="data" sd="1" x="3"/>
        <item t="data" sd="1" x="4"/>
        <item t="data" sd="1" x="6"/>
        <item t="data" sd="1" x="5"/>
        <item t="data" sd="1" x="11"/>
        <item t="data" sd="1" x="22"/>
        <item t="data" sd="1" x="23"/>
        <item t="data" sd="1" x="9"/>
        <item t="data" sd="1" x="10"/>
        <item t="data" sd="1" x="7"/>
        <item t="data" sd="1" x="13"/>
        <item t="data" sd="1" x="14"/>
        <item t="data" sd="1" x="19"/>
        <item t="data" sd="1" x="18"/>
        <item t="data" sd="1" x="17"/>
        <item t="data" sd="1" x="12"/>
        <item t="data" sd="1" x="21"/>
        <item t="data" sd="1" x="20"/>
        <item t="data" sd="1" x="8"/>
        <item t="data" sd="1" x="16"/>
        <item t="data" sd="1" x="15"/>
        <item t="data" sd="1" x="2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12">
        <item t="data" sd="1" x="3"/>
        <item t="data" sd="1" x="7"/>
        <item t="data" sd="1" x="0"/>
        <item t="data" sd="1" x="1"/>
        <item t="data" sd="1" x="4"/>
        <item t="data" sd="1" x="9"/>
        <item t="data" sd="1" x="8"/>
        <item t="data" sd="1" x="6"/>
        <item t="data" sd="1" x="5"/>
        <item t="data" sd="1" x="2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6">
        <item t="data" sd="1" x="3"/>
        <item t="data" sd="1" x="2"/>
        <item t="data" sd="1" x="1"/>
        <item t="data" sd="1" x="0"/>
        <item t="data" h="1" sd="1" x="4"/>
        <item t="default" sd="1"/>
      </items>
    </pivotField>
  </pivotFields>
  <rowFields count="2">
    <field x="1"/>
    <field x="3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1" i="0">
      <x v="18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17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>
      <x v="0"/>
    </i>
  </colItems>
  <pageFields count="2">
    <pageField fld="2" hier="-1"/>
    <pageField fld="8" hier="-1"/>
  </pageFields>
  <dataFields count="1">
    <dataField name="Suma de TOTAL" fld="15" subtotal="sum" showDataAs="normal" baseField="0" baseItem="0" numFmtId="4"/>
  </dataFields>
  <formats count="2">
    <format action="formatting" dxfId="17">
      <pivotArea type="normal" dataOnly="1" outline="0" collapsedLevelsAreSubtotals="1" fieldPosition="0"/>
    </format>
    <format action="formatting" dxfId="16">
      <pivotArea type="normal" dataOnly="1" outline="0" collapsedLevelsAreSubtotals="1" fieldPosition="0"/>
    </format>
  </formats>
  <chartFormats count="48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1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2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3"/>
          </reference>
        </references>
      </pivotArea>
    </chartFormat>
    <chartFormat chart="1" format="4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0"/>
          </reference>
        </references>
      </pivotArea>
    </chartFormat>
    <chartFormat chart="1" format="5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1"/>
          </reference>
        </references>
      </pivotArea>
    </chartFormat>
    <chartFormat chart="1" format="6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2"/>
          </reference>
        </references>
      </pivotArea>
    </chartFormat>
    <chartFormat chart="1" format="7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3"/>
          </reference>
        </references>
      </pivotArea>
    </chartFormat>
    <chartFormat chart="7" format="0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0"/>
          </reference>
        </references>
      </pivotArea>
    </chartFormat>
    <chartFormat chart="7" format="1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1"/>
          </reference>
        </references>
      </pivotArea>
    </chartFormat>
    <chartFormat chart="7" format="2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2"/>
          </reference>
        </references>
      </pivotArea>
    </chartFormat>
    <chartFormat chart="7" format="3" series="1">
      <pivotArea type="data" dataOnly="1" outline="0" fieldPosition="0">
        <references count="2">
          <reference field="4294967294" selected="0">
            <x v="0"/>
          </reference>
          <reference field="17" selected="0">
            <x v="3"/>
          </reference>
        </references>
      </pivotArea>
    </chartFormat>
    <chartFormat chart="7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17" selected="0">
            <x v="3"/>
          </reference>
        </references>
      </pivotArea>
    </chartFormat>
    <chartFormat chart="7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17" selected="0">
            <x v="3"/>
          </reference>
        </references>
      </pivotArea>
    </chartFormat>
    <chartFormat chart="7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17" selected="0">
            <x v="3"/>
          </reference>
        </references>
      </pivotArea>
    </chartFormat>
    <chartFormat chart="7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17" selected="0">
            <x v="3"/>
          </reference>
        </references>
      </pivotArea>
    </chartFormat>
    <chartFormat chart="7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17" selected="0">
            <x v="3"/>
          </reference>
        </references>
      </pivotArea>
    </chartFormat>
    <chartFormat chart="7" format="9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8"/>
          </reference>
          <reference field="17" selected="0">
            <x v="3"/>
          </reference>
        </references>
      </pivotArea>
    </chartFormat>
    <chartFormat chart="7" format="10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17" selected="0">
            <x v="0"/>
          </reference>
        </references>
      </pivotArea>
    </chartFormat>
    <chartFormat chart="7" format="1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17" selected="0">
            <x v="0"/>
          </reference>
        </references>
      </pivotArea>
    </chartFormat>
    <chartFormat chart="7" format="1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17" selected="0">
            <x v="0"/>
          </reference>
        </references>
      </pivotArea>
    </chartFormat>
    <chartFormat chart="7" format="1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17" selected="0">
            <x v="0"/>
          </reference>
        </references>
      </pivotArea>
    </chartFormat>
    <chartFormat chart="7" format="1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17" selected="0">
            <x v="0"/>
          </reference>
        </references>
      </pivotArea>
    </chartFormat>
    <chartFormat chart="7" format="1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17" selected="0">
            <x v="0"/>
          </reference>
        </references>
      </pivotArea>
    </chartFormat>
    <chartFormat chart="7" format="1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6"/>
          </reference>
          <reference field="17" selected="0">
            <x v="0"/>
          </reference>
        </references>
      </pivotArea>
    </chartFormat>
    <chartFormat chart="7" format="1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7"/>
          </reference>
          <reference field="17" selected="0">
            <x v="0"/>
          </reference>
        </references>
      </pivotArea>
    </chartFormat>
    <chartFormat chart="7" format="1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8"/>
          </reference>
          <reference field="17" selected="0">
            <x v="0"/>
          </reference>
        </references>
      </pivotArea>
    </chartFormat>
    <chartFormat chart="7" format="19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17" selected="0">
            <x v="1"/>
          </reference>
        </references>
      </pivotArea>
    </chartFormat>
    <chartFormat chart="7" format="20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17" selected="0">
            <x v="1"/>
          </reference>
        </references>
      </pivotArea>
    </chartFormat>
    <chartFormat chart="7" format="2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17" selected="0">
            <x v="1"/>
          </reference>
        </references>
      </pivotArea>
    </chartFormat>
    <chartFormat chart="7" format="2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17" selected="0">
            <x v="1"/>
          </reference>
        </references>
      </pivotArea>
    </chartFormat>
    <chartFormat chart="7" format="2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17" selected="0">
            <x v="1"/>
          </reference>
        </references>
      </pivotArea>
    </chartFormat>
    <chartFormat chart="7" format="2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17" selected="0">
            <x v="1"/>
          </reference>
        </references>
      </pivotArea>
    </chartFormat>
    <chartFormat chart="7" format="2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6"/>
          </reference>
          <reference field="17" selected="0">
            <x v="1"/>
          </reference>
        </references>
      </pivotArea>
    </chartFormat>
    <chartFormat chart="7" format="2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7"/>
          </reference>
          <reference field="17" selected="0">
            <x v="1"/>
          </reference>
        </references>
      </pivotArea>
    </chartFormat>
    <chartFormat chart="7" format="2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8"/>
          </reference>
          <reference field="17" selected="0">
            <x v="1"/>
          </reference>
        </references>
      </pivotArea>
    </chartFormat>
    <chartFormat chart="7" format="2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17" selected="0">
            <x v="2"/>
          </reference>
        </references>
      </pivotArea>
    </chartFormat>
    <chartFormat chart="7" format="29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17" selected="0">
            <x v="2"/>
          </reference>
        </references>
      </pivotArea>
    </chartFormat>
    <chartFormat chart="7" format="30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17" selected="0">
            <x v="2"/>
          </reference>
        </references>
      </pivotArea>
    </chartFormat>
    <chartFormat chart="7" format="3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3"/>
          </reference>
          <reference field="17" selected="0">
            <x v="2"/>
          </reference>
        </references>
      </pivotArea>
    </chartFormat>
    <chartFormat chart="7" format="3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17" selected="0">
            <x v="2"/>
          </reference>
        </references>
      </pivotArea>
    </chartFormat>
    <chartFormat chart="7" format="3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5"/>
          </reference>
          <reference field="17" selected="0">
            <x v="2"/>
          </reference>
        </references>
      </pivotArea>
    </chartFormat>
    <chartFormat chart="7" format="3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6"/>
          </reference>
          <reference field="17" selected="0">
            <x v="2"/>
          </reference>
        </references>
      </pivotArea>
    </chartFormat>
    <chartFormat chart="7" format="3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7"/>
          </reference>
          <reference field="17" selected="0">
            <x v="2"/>
          </reference>
        </references>
      </pivotArea>
    </chartFormat>
    <chartFormat chart="7" format="3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8"/>
          </reference>
          <reference field="17" selected="0">
            <x v="2"/>
          </reference>
        </references>
      </pivotArea>
    </chartFormat>
    <chartFormat chart="7" format="3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4"/>
          </reference>
          <reference field="17" selected="0">
            <x v="3"/>
          </reference>
        </references>
      </pivotArea>
    </chartFormat>
    <chartFormat chart="7" format="3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6"/>
          </reference>
          <reference field="17" selected="0">
            <x v="3"/>
          </reference>
        </references>
      </pivotArea>
    </chartFormat>
    <chartFormat chart="7" format="39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7"/>
          </reference>
          <reference field="17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7" sqref="A7"/>
    </sheetView>
  </sheetViews>
  <sheetFormatPr baseColWidth="10" defaultRowHeight="15"/>
  <cols>
    <col width="33.85546875" bestFit="1" customWidth="1" min="1" max="1"/>
    <col width="22.42578125" bestFit="1" customWidth="1" min="2" max="2"/>
    <col width="10.85546875" bestFit="1" customWidth="1" min="3" max="3"/>
    <col width="8.5703125" bestFit="1" customWidth="1" min="4" max="4"/>
    <col width="9.140625" bestFit="1" customWidth="1" min="5" max="5"/>
    <col width="12.5703125" bestFit="1" customWidth="1" min="6" max="6"/>
    <col width="15.7109375" bestFit="1" customWidth="1" min="7" max="7"/>
    <col width="10.42578125" bestFit="1" customWidth="1" min="8" max="8"/>
    <col width="13.42578125" bestFit="1" customWidth="1" min="9" max="9"/>
    <col width="10.5703125" bestFit="1" customWidth="1" min="10" max="10"/>
    <col width="8.140625" bestFit="1" customWidth="1" min="11" max="11"/>
    <col width="9.140625" bestFit="1" customWidth="1" min="12" max="12"/>
    <col width="8.140625" bestFit="1" customWidth="1" min="13" max="13"/>
    <col width="6.5703125" bestFit="1" customWidth="1" min="14" max="14"/>
    <col width="8.140625" bestFit="1" customWidth="1" min="15" max="15"/>
    <col width="13.5703125" bestFit="1" customWidth="1" min="16" max="16"/>
    <col width="12.5703125" bestFit="1" customWidth="1" min="17" max="17"/>
  </cols>
  <sheetData>
    <row r="1">
      <c r="A1" s="20" t="inlineStr">
        <is>
          <t>TIPO</t>
        </is>
      </c>
      <c r="B1" t="inlineStr">
        <is>
          <t>(Varios elementos)</t>
        </is>
      </c>
    </row>
    <row r="2">
      <c r="A2" s="20" t="inlineStr">
        <is>
          <t>DIAS</t>
        </is>
      </c>
      <c r="B2" t="inlineStr">
        <is>
          <t>(Varios elementos)</t>
        </is>
      </c>
    </row>
    <row r="4">
      <c r="A4" s="20" t="inlineStr">
        <is>
          <t>Suma de TOTAL</t>
        </is>
      </c>
      <c r="B4" s="20" t="inlineStr">
        <is>
          <t>Etiquetas de columna</t>
        </is>
      </c>
    </row>
    <row r="5">
      <c r="A5" s="20" t="inlineStr">
        <is>
          <t>Etiquetas de fila</t>
        </is>
      </c>
      <c r="B5" t="inlineStr">
        <is>
          <t>PAGADA</t>
        </is>
      </c>
      <c r="C5" t="inlineStr">
        <is>
          <t>PENDIENTE</t>
        </is>
      </c>
      <c r="D5" t="inlineStr">
        <is>
          <t>PLICADA</t>
        </is>
      </c>
      <c r="E5" t="inlineStr">
        <is>
          <t>VIGENTE</t>
        </is>
      </c>
      <c r="F5" t="inlineStr">
        <is>
          <t>Total general</t>
        </is>
      </c>
    </row>
    <row r="6">
      <c r="A6" s="5" t="inlineStr">
        <is>
          <t>ALFA CASA DE REPRESENTACIONES</t>
        </is>
      </c>
      <c r="B6" s="6" t="n"/>
      <c r="C6" s="6" t="n"/>
      <c r="D6" s="6" t="n"/>
      <c r="E6" s="6" t="n">
        <v>782.4607999999999</v>
      </c>
      <c r="F6" s="6" t="n">
        <v>782.4607999999999</v>
      </c>
    </row>
    <row r="7">
      <c r="A7" s="5" t="inlineStr">
        <is>
          <t>BIOQUIMICA</t>
        </is>
      </c>
      <c r="B7" s="6" t="n"/>
      <c r="C7" s="6" t="n"/>
      <c r="D7" s="6" t="n"/>
      <c r="E7" s="6" t="n">
        <v>16631.28</v>
      </c>
      <c r="F7" s="6" t="n">
        <v>16631.28</v>
      </c>
    </row>
    <row r="8">
      <c r="A8" s="5" t="inlineStr">
        <is>
          <t>CALOX INTERNACIONAL</t>
        </is>
      </c>
      <c r="B8" s="6" t="n"/>
      <c r="C8" s="6" t="n">
        <v>-5367.290000000001</v>
      </c>
      <c r="D8" s="6" t="n"/>
      <c r="E8" s="6" t="n">
        <v>16903.44</v>
      </c>
      <c r="F8" s="6" t="n">
        <v>11536.15</v>
      </c>
    </row>
    <row r="9">
      <c r="A9" s="5" t="inlineStr">
        <is>
          <t>DROVEN PLUS</t>
        </is>
      </c>
      <c r="B9" s="6" t="n"/>
      <c r="C9" s="6" t="n"/>
      <c r="D9" s="6" t="n"/>
      <c r="E9" s="6" t="n">
        <v>845.84</v>
      </c>
      <c r="F9" s="6" t="n">
        <v>845.84</v>
      </c>
    </row>
    <row r="10">
      <c r="A10" s="5" t="inlineStr">
        <is>
          <t>GENIA CARE</t>
        </is>
      </c>
      <c r="B10" s="6" t="n"/>
      <c r="C10" s="6" t="n">
        <v>-198.7776</v>
      </c>
      <c r="D10" s="6" t="n"/>
      <c r="E10" s="6" t="n"/>
      <c r="F10" s="6" t="n">
        <v>-198.7776</v>
      </c>
    </row>
    <row r="11">
      <c r="A11" s="41" t="inlineStr">
        <is>
          <t>810006577</t>
        </is>
      </c>
      <c r="B11" s="6" t="n"/>
      <c r="C11" s="6" t="n">
        <v>-198.7776</v>
      </c>
      <c r="D11" s="6" t="n"/>
      <c r="E11" s="6" t="n"/>
      <c r="F11" s="6" t="n">
        <v>-198.7776</v>
      </c>
    </row>
    <row r="12">
      <c r="A12" s="5" t="inlineStr">
        <is>
          <t>LABORATORIO BIOFAR</t>
        </is>
      </c>
      <c r="B12" s="6" t="n"/>
      <c r="C12" s="6" t="n"/>
      <c r="D12" s="6" t="n"/>
      <c r="E12" s="6" t="n">
        <v>366</v>
      </c>
      <c r="F12" s="6" t="n">
        <v>366</v>
      </c>
    </row>
    <row r="13">
      <c r="A13" s="5" t="inlineStr">
        <is>
          <t>LABORATORIOS FISA</t>
        </is>
      </c>
      <c r="B13" s="6" t="n">
        <v>3704.9584</v>
      </c>
      <c r="C13" s="6" t="n"/>
      <c r="D13" s="6" t="n"/>
      <c r="E13" s="6" t="n"/>
      <c r="F13" s="6" t="n">
        <v>3704.9584</v>
      </c>
    </row>
    <row r="14">
      <c r="A14" s="5" t="inlineStr">
        <is>
          <t>LABORATORIOS PONCE</t>
        </is>
      </c>
      <c r="B14" s="6" t="n"/>
      <c r="C14" s="6" t="n"/>
      <c r="D14" s="6" t="n">
        <v>-160.02</v>
      </c>
      <c r="E14" s="6" t="n"/>
      <c r="F14" s="6" t="n">
        <v>-160.02</v>
      </c>
    </row>
    <row r="15">
      <c r="A15" s="5" t="inlineStr">
        <is>
          <t>QUALITYMED</t>
        </is>
      </c>
      <c r="B15" s="6" t="n"/>
      <c r="C15" s="6" t="n">
        <v>-723.3299999999999</v>
      </c>
      <c r="D15" s="6" t="n"/>
      <c r="E15" s="6" t="n">
        <v>8099.23</v>
      </c>
      <c r="F15" s="6" t="n">
        <v>7375.9</v>
      </c>
    </row>
    <row r="16">
      <c r="A16" s="5" t="inlineStr">
        <is>
          <t>Total general</t>
        </is>
      </c>
      <c r="B16" s="6" t="n">
        <v>3704.9584</v>
      </c>
      <c r="C16" s="6" t="n">
        <v>-6289.397600000001</v>
      </c>
      <c r="D16" s="6" t="n">
        <v>-160.02</v>
      </c>
      <c r="E16" s="6" t="n">
        <v>43628.25079999999</v>
      </c>
      <c r="F16" s="6" t="n">
        <v>40883.7916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OCD ICG</t>
        </is>
      </c>
      <c r="C1" t="inlineStr">
        <is>
          <t>PROVEEDOR</t>
        </is>
      </c>
      <c r="D1" t="inlineStr">
        <is>
          <t>TIPO</t>
        </is>
      </c>
      <c r="E1" t="inlineStr">
        <is>
          <t>FACTURA</t>
        </is>
      </c>
      <c r="F1" t="inlineStr">
        <is>
          <t>F FACTURA</t>
        </is>
      </c>
      <c r="G1" t="inlineStr">
        <is>
          <t>F RECEPCION</t>
        </is>
      </c>
      <c r="H1" t="inlineStr">
        <is>
          <t>CREDITO</t>
        </is>
      </c>
      <c r="I1" t="inlineStr">
        <is>
          <t>PP1</t>
        </is>
      </c>
      <c r="J1" t="inlineStr">
        <is>
          <t>PP2</t>
        </is>
      </c>
      <c r="K1" t="inlineStr">
        <is>
          <t>PP3</t>
        </is>
      </c>
      <c r="L1" t="inlineStr">
        <is>
          <t>VENCIMIENTO</t>
        </is>
      </c>
      <c r="M1" t="inlineStr">
        <is>
          <t>DIAS</t>
        </is>
      </c>
      <c r="N1" t="inlineStr">
        <is>
          <t>TASA</t>
        </is>
      </c>
      <c r="O1" t="inlineStr">
        <is>
          <t>SUB-TOTAL</t>
        </is>
      </c>
      <c r="P1" t="inlineStr">
        <is>
          <t>EXENTO</t>
        </is>
      </c>
      <c r="Q1" t="inlineStr">
        <is>
          <t>BASE</t>
        </is>
      </c>
      <c r="R1" t="inlineStr">
        <is>
          <t>IVA</t>
        </is>
      </c>
      <c r="S1" t="inlineStr">
        <is>
          <t>IVA NR</t>
        </is>
      </c>
      <c r="T1" t="inlineStr">
        <is>
          <t>TOTAL</t>
        </is>
      </c>
      <c r="U1" t="inlineStr">
        <is>
          <t>TOTAL BS</t>
        </is>
      </c>
      <c r="V1" t="inlineStr">
        <is>
          <t>ESTADO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Proveedores</t>
        </is>
      </c>
      <c r="B1" t="inlineStr">
        <is>
          <t>Factura digital</t>
        </is>
      </c>
      <c r="C1" t="inlineStr">
        <is>
          <t>Condicion</t>
        </is>
      </c>
      <c r="D1" t="inlineStr">
        <is>
          <t>Departamento</t>
        </is>
      </c>
      <c r="E1" t="inlineStr">
        <is>
          <t>Nombre</t>
        </is>
      </c>
      <c r="F1" t="inlineStr">
        <is>
          <t>Correo</t>
        </is>
      </c>
      <c r="G1" t="inlineStr">
        <is>
          <t>Numero de telefono</t>
        </is>
      </c>
      <c r="H1" t="inlineStr">
        <is>
          <t>comentarios</t>
        </is>
      </c>
    </row>
    <row r="2">
      <c r="A2" t="inlineStr">
        <is>
          <t>BIOQUIMICA INTERNACIONAL, C.A</t>
        </is>
      </c>
      <c r="B2" t="inlineStr">
        <is>
          <t>NO</t>
        </is>
      </c>
      <c r="C2" t="inlineStr">
        <is>
          <t>INDEXADO</t>
        </is>
      </c>
      <c r="D2" t="inlineStr">
        <is>
          <t>Mercadeo y Ventas</t>
        </is>
      </c>
      <c r="E2" t="inlineStr">
        <is>
          <t>Shirley González</t>
        </is>
      </c>
      <c r="F2" t="inlineStr">
        <is>
          <t>ventasbioquimica@gmail.com</t>
        </is>
      </c>
      <c r="G2" t="inlineStr">
        <is>
          <t>0412-2195103</t>
        </is>
      </c>
      <c r="H2" t="inlineStr">
        <is>
          <t>30 DIAS DE CREDITO - 8% PP AL RECIBIR - 2% PP POR 7 DIAS</t>
        </is>
      </c>
    </row>
    <row r="3">
      <c r="A3" t="inlineStr">
        <is>
          <t>PONCE &amp; BENZO SUCR, C.A</t>
        </is>
      </c>
      <c r="B3" t="inlineStr">
        <is>
          <t>SI</t>
        </is>
      </c>
      <c r="C3" t="inlineStr">
        <is>
          <t>INDEXADO</t>
        </is>
      </c>
      <c r="D3" t="inlineStr">
        <is>
          <t>Analista de cuentas claves</t>
        </is>
      </c>
      <c r="E3" t="inlineStr">
        <is>
          <t>Diana Delgado</t>
        </is>
      </c>
      <c r="F3" t="inlineStr">
        <is>
          <t>ddelgado@ponce-benzo.com</t>
        </is>
      </c>
      <c r="G3" t="inlineStr">
        <is>
          <t>0414-8975309</t>
        </is>
      </c>
      <c r="H3" t="inlineStr">
        <is>
          <t>21 DIAS 3% PP</t>
        </is>
      </c>
    </row>
    <row r="4">
      <c r="A4" t="inlineStr">
        <is>
          <t>QUALITYMED, C.A.</t>
        </is>
      </c>
      <c r="B4" t="inlineStr">
        <is>
          <t>NO</t>
        </is>
      </c>
      <c r="C4" t="inlineStr">
        <is>
          <t>INDEXADO / CONSIGNACION</t>
        </is>
      </c>
      <c r="D4" t="inlineStr">
        <is>
          <t xml:space="preserve">Gerente de venta </t>
        </is>
      </c>
      <c r="E4" t="inlineStr">
        <is>
          <t>Daniel Laboratios Coas QualityMed</t>
        </is>
      </c>
      <c r="F4" t="inlineStr">
        <is>
          <t>Devolucion: operaciones@qualitymedca.com - Cobranza: cobranzas@qualitymedca.com - Cortes Consignacion:	
consignacionesqm@gmail.com</t>
        </is>
      </c>
      <c r="G4" t="inlineStr">
        <is>
          <t>0412-5736971</t>
        </is>
      </c>
      <c r="H4" t="inlineStr">
        <is>
          <t>21 DIAS DE CREDITO</t>
        </is>
      </c>
    </row>
    <row r="5">
      <c r="A5" t="inlineStr">
        <is>
          <t>GENIA CARE / GENIA CARE PHARMACEUTICAL, S.A</t>
        </is>
      </c>
      <c r="B5" t="inlineStr">
        <is>
          <t>NO</t>
        </is>
      </c>
      <c r="C5" t="inlineStr">
        <is>
          <t>INDEXADO</t>
        </is>
      </c>
      <c r="D5" t="inlineStr">
        <is>
          <t xml:space="preserve">Gerente de venta </t>
        </is>
      </c>
      <c r="E5" t="inlineStr">
        <is>
          <t>Luis chirino</t>
        </is>
      </c>
      <c r="F5" t="inlineStr">
        <is>
          <t xml:space="preserve">luis.chirino@geniacare.com </t>
        </is>
      </c>
      <c r="G5" t="inlineStr">
        <is>
          <t>0412-6234127</t>
        </is>
      </c>
      <c r="H5" t="inlineStr">
        <is>
          <t>CONTADO PP (7%)  /  7 DIAS PP (5%)  /  10 DIAS PP (3%)</t>
        </is>
      </c>
    </row>
    <row r="6">
      <c r="A6" t="inlineStr">
        <is>
          <t>BHIO-MED DISTRIBUIDORA, C.A</t>
        </is>
      </c>
      <c r="B6" t="inlineStr">
        <is>
          <t>NO</t>
        </is>
      </c>
      <c r="C6" t="inlineStr">
        <is>
          <t>INDEXADO / CONSIGNACION</t>
        </is>
      </c>
      <c r="D6" t="inlineStr">
        <is>
          <t>CUENTAS CLAVE</t>
        </is>
      </c>
      <c r="E6" t="inlineStr">
        <is>
          <t>Gregory Alvarez</t>
        </is>
      </c>
      <c r="F6" t="inlineStr">
        <is>
          <t>galvarez@hbhumanvzla.com</t>
        </is>
      </c>
      <c r="G6" t="inlineStr">
        <is>
          <t>+58 424-1868311</t>
        </is>
      </c>
      <c r="H6" t="inlineStr">
        <is>
          <t>CREDITO 15 DIAS</t>
        </is>
      </c>
    </row>
    <row r="7">
      <c r="A7" t="inlineStr">
        <is>
          <t>CAREVEN PHARMA, C.A</t>
        </is>
      </c>
      <c r="B7" t="inlineStr">
        <is>
          <t>NO</t>
        </is>
      </c>
      <c r="C7" t="inlineStr">
        <is>
          <t>INDEXADO</t>
        </is>
      </c>
      <c r="D7" t="inlineStr">
        <is>
          <t>REP DE VENTAS- CUENTAS CLAVES</t>
        </is>
      </c>
      <c r="E7" t="inlineStr">
        <is>
          <t xml:space="preserve">Anthony Ceballos </t>
        </is>
      </c>
      <c r="F7" t="inlineStr">
        <is>
          <t>aceballos@hbhumanvzla.com</t>
        </is>
      </c>
      <c r="G7" t="inlineStr">
        <is>
          <t>+58 424-9357834</t>
        </is>
      </c>
      <c r="H7" t="inlineStr">
        <is>
          <t>30 DIAS DE CREDITO -/ 8% PP A 7 DIAS -/ 5% PP A 15 DIAS -/ 3% PP A 21 DIAS</t>
        </is>
      </c>
    </row>
    <row r="8">
      <c r="A8" t="inlineStr">
        <is>
          <t>ALFA CASA DE REPRESENTACIÓN FARMACEUTICA, C.A</t>
        </is>
      </c>
      <c r="B8" t="inlineStr">
        <is>
          <t>NO</t>
        </is>
      </c>
      <c r="C8" t="inlineStr">
        <is>
          <t>INDEXADO / CONSIGNACION</t>
        </is>
      </c>
      <c r="D8" t="inlineStr">
        <is>
          <t>CUENTAS CLAVE</t>
        </is>
      </c>
      <c r="E8" t="inlineStr">
        <is>
          <t>Dessire Cañizalez</t>
        </is>
      </c>
      <c r="F8" t="inlineStr">
        <is>
          <t>Dessirecanizalez.alfa@gmail.com</t>
        </is>
      </c>
      <c r="G8" t="inlineStr">
        <is>
          <t>0412-9328757</t>
        </is>
      </c>
      <c r="H8" t="inlineStr">
        <is>
          <t>15 DIAS DE CREDITO -/ 10% PP A 10 DIAS.</t>
        </is>
      </c>
    </row>
    <row r="9">
      <c r="A9" t="inlineStr">
        <is>
          <t>CASA DE REPRESENTACIONES DROVENPLUS, C.A &amp; BIOFAR</t>
        </is>
      </c>
      <c r="B9" t="inlineStr">
        <is>
          <t>NO</t>
        </is>
      </c>
      <c r="C9" t="inlineStr">
        <is>
          <t>INDEXADO</t>
        </is>
      </c>
      <c r="D9" t="inlineStr">
        <is>
          <t>CUENTAS CLAVE</t>
        </is>
      </c>
      <c r="E9" t="inlineStr">
        <is>
          <t xml:space="preserve">Juan Ferrer / Emilio Marcano </t>
        </is>
      </c>
      <c r="F9" t="inlineStr">
        <is>
          <t>laboratoriobiofarventas@gmail.com</t>
        </is>
      </c>
      <c r="G9" t="inlineStr">
        <is>
          <t>0424-3308961 / 0412-1753236</t>
        </is>
      </c>
      <c r="H9" t="inlineStr">
        <is>
          <t>CONTADO 7% PP -/ 5% PP A 7 DIAS -/ CREDITO 21 DIAS</t>
        </is>
      </c>
    </row>
    <row r="10">
      <c r="A10" t="inlineStr">
        <is>
          <t>PROBIOTIC, C.A</t>
        </is>
      </c>
      <c r="B10" t="inlineStr">
        <is>
          <t>NO</t>
        </is>
      </c>
      <c r="C10" t="inlineStr">
        <is>
          <t>INDEXADO</t>
        </is>
      </c>
      <c r="D10" t="inlineStr">
        <is>
          <t>CUENTAS CLAVE</t>
        </is>
      </c>
      <c r="E10" t="inlineStr">
        <is>
          <t>Johana Peña</t>
        </is>
      </c>
      <c r="F10" t="inlineStr">
        <is>
          <t>probioticca01@gmail.com</t>
        </is>
      </c>
      <c r="G10" t="inlineStr">
        <is>
          <t>58 424-7104708</t>
        </is>
      </c>
      <c r="H10" t="inlineStr">
        <is>
          <t>2 DIAS DESPUES DE RECIBIR</t>
        </is>
      </c>
    </row>
    <row r="11">
      <c r="A11" t="inlineStr">
        <is>
          <t>HUMAN</t>
        </is>
      </c>
      <c r="B11" t="inlineStr">
        <is>
          <t>NO</t>
        </is>
      </c>
      <c r="C11" t="inlineStr">
        <is>
          <t>CONSIGNACION / INDEXADO</t>
        </is>
      </c>
      <c r="D11" t="inlineStr">
        <is>
          <t>REP DE VENTAS- CUENTAS CLAVES</t>
        </is>
      </c>
      <c r="E11" t="inlineStr">
        <is>
          <t>Anthony Ceballos / Departamento credito y cobranza</t>
        </is>
      </c>
      <c r="F11" t="inlineStr">
        <is>
          <t>aceballos@hbhumanvzla.com</t>
        </is>
      </c>
      <c r="G11" t="inlineStr">
        <is>
          <t>0424-9357834 / 0412-6325969</t>
        </is>
      </c>
      <c r="H11" t="inlineStr">
        <is>
          <t>21 dias monto fact  /  7 dias 10% PP  /  &gt;21 dias Index</t>
        </is>
      </c>
    </row>
    <row r="12">
      <c r="A12" t="inlineStr">
        <is>
          <t>PRODUCCIONES RODENEZA, C.A.</t>
        </is>
      </c>
      <c r="B12" t="inlineStr">
        <is>
          <t>NO</t>
        </is>
      </c>
      <c r="C12" t="inlineStr">
        <is>
          <t>MONTO FACTURA</t>
        </is>
      </c>
      <c r="D12" t="inlineStr">
        <is>
          <t>Mercadeo y Ventas</t>
        </is>
      </c>
      <c r="E12" t="inlineStr">
        <is>
          <t>Yajaira Suárez Rodeneza</t>
        </is>
      </c>
      <c r="G12" t="inlineStr">
        <is>
          <t>0414-9735867</t>
        </is>
      </c>
      <c r="H12" t="inlineStr">
        <is>
          <t>CONTADO</t>
        </is>
      </c>
    </row>
    <row r="13">
      <c r="A13" t="inlineStr">
        <is>
          <t>CALOX</t>
        </is>
      </c>
      <c r="B13" t="inlineStr">
        <is>
          <t>NO</t>
        </is>
      </c>
      <c r="C13" t="inlineStr">
        <is>
          <t>INDEXADO</t>
        </is>
      </c>
      <c r="E13" t="inlineStr">
        <is>
          <t>CESAR CEREZO</t>
        </is>
      </c>
    </row>
    <row r="14">
      <c r="A14" t="inlineStr">
        <is>
          <t>PRODUCCIONES RODENEZA</t>
        </is>
      </c>
      <c r="B14" t="inlineStr">
        <is>
          <t>NO</t>
        </is>
      </c>
      <c r="C14" t="inlineStr">
        <is>
          <t>CONTADO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PASSWORD</t>
        </is>
      </c>
      <c r="C1" t="inlineStr">
        <is>
          <t>ROL</t>
        </is>
      </c>
      <c r="D1" t="inlineStr">
        <is>
          <t>NOMBRE</t>
        </is>
      </c>
    </row>
    <row r="2">
      <c r="A2" t="inlineStr">
        <is>
          <t>admin</t>
        </is>
      </c>
      <c r="B2" t="n">
        <v>123</v>
      </c>
      <c r="C2" t="inlineStr">
        <is>
          <t>ADMINISTRADOR</t>
        </is>
      </c>
      <c r="D2" t="inlineStr">
        <is>
          <t>ADMINISTRADOR DEL SISTEMA</t>
        </is>
      </c>
    </row>
    <row r="3">
      <c r="A3" t="inlineStr">
        <is>
          <t>jemr</t>
        </is>
      </c>
      <c r="B3" t="inlineStr">
        <is>
          <t>J*2026</t>
        </is>
      </c>
      <c r="C3" t="inlineStr">
        <is>
          <t>ADMINISTRADOR</t>
        </is>
      </c>
      <c r="D3" t="inlineStr">
        <is>
          <t>JESUS MARQUEZ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USUARIO</t>
        </is>
      </c>
      <c r="C1" t="inlineStr">
        <is>
          <t>ACCION</t>
        </is>
      </c>
      <c r="D1" t="inlineStr">
        <is>
          <t>DETALLE</t>
        </is>
      </c>
    </row>
    <row r="2">
      <c r="A2" t="inlineStr">
        <is>
          <t>2026-10-25 23:36:05</t>
        </is>
      </c>
      <c r="B2" t="inlineStr">
        <is>
          <t>JESUS</t>
        </is>
      </c>
      <c r="C2" t="inlineStr">
        <is>
          <t>INICIO DE SESIÓN</t>
        </is>
      </c>
      <c r="D2" t="inlineStr">
        <is>
          <t>ACCESO EXITOSO AL SISTEMA</t>
        </is>
      </c>
    </row>
    <row r="3">
      <c r="A3" t="inlineStr">
        <is>
          <t>2026-10-25 23:36:22</t>
        </is>
      </c>
      <c r="B3" t="inlineStr">
        <is>
          <t>JESUS</t>
        </is>
      </c>
      <c r="C3" t="inlineStr">
        <is>
          <t>CIERRE DE SESIÓN</t>
        </is>
      </c>
      <c r="D3" t="inlineStr">
        <is>
          <t>SALIDA DEL SISTEMA</t>
        </is>
      </c>
    </row>
    <row r="4">
      <c r="A4" t="inlineStr">
        <is>
          <t>2026-10-25 23:36:29</t>
        </is>
      </c>
      <c r="B4" t="inlineStr">
        <is>
          <t>ADMIN</t>
        </is>
      </c>
      <c r="C4" t="inlineStr">
        <is>
          <t>INICIO DE SESIÓN</t>
        </is>
      </c>
      <c r="D4" t="inlineStr">
        <is>
          <t>ACCESO EXITOSO AL SISTEMA</t>
        </is>
      </c>
    </row>
    <row r="5">
      <c r="A5" t="inlineStr">
        <is>
          <t>2026-10-25 23:44:10</t>
        </is>
      </c>
      <c r="B5" t="inlineStr">
        <is>
          <t>ADMIN</t>
        </is>
      </c>
      <c r="C5" t="inlineStr">
        <is>
          <t>INICIO DE SESIÓN</t>
        </is>
      </c>
      <c r="D5" t="inlineStr">
        <is>
          <t>ACCESO EXITOSO AL SISTEMA</t>
        </is>
      </c>
    </row>
    <row r="6">
      <c r="A6" t="inlineStr">
        <is>
          <t>2026-10-25 23:44:31</t>
        </is>
      </c>
      <c r="B6" t="inlineStr">
        <is>
          <t>ADMIN</t>
        </is>
      </c>
      <c r="C6" t="inlineStr">
        <is>
          <t>ELIMINACIÓN DE USUARIO</t>
        </is>
      </c>
      <c r="D6" t="inlineStr">
        <is>
          <t>ELIMINADO EL USUARIO 'JESUS'</t>
        </is>
      </c>
    </row>
    <row r="7">
      <c r="A7" t="inlineStr">
        <is>
          <t>2026-10-25 23:45:03</t>
        </is>
      </c>
      <c r="B7" t="inlineStr">
        <is>
          <t>ADMIN</t>
        </is>
      </c>
      <c r="C7" t="inlineStr">
        <is>
          <t>CREACIÓN DE USUARIO</t>
        </is>
      </c>
      <c r="D7" t="inlineStr">
        <is>
          <t>CREADO NUEVO USUARIO 'JEMR' CON ROL 'ADMINISTRADOR'</t>
        </is>
      </c>
    </row>
    <row r="8">
      <c r="A8" t="inlineStr">
        <is>
          <t>2026-10-25 23:55:41</t>
        </is>
      </c>
      <c r="B8" t="inlineStr">
        <is>
          <t>ADMIN</t>
        </is>
      </c>
      <c r="C8" t="inlineStr">
        <is>
          <t>INICIO DE SESIÓN</t>
        </is>
      </c>
      <c r="D8" t="inlineStr">
        <is>
          <t>ACCESO EXITOSO AL SISTEMA</t>
        </is>
      </c>
    </row>
    <row r="9">
      <c r="A9" t="inlineStr">
        <is>
          <t>2026-10-25 23:56:44</t>
        </is>
      </c>
      <c r="B9" t="inlineStr">
        <is>
          <t>ADMIN</t>
        </is>
      </c>
      <c r="C9" t="inlineStr">
        <is>
          <t>ELIMINACIÓN DE REGISTRO</t>
        </is>
      </c>
      <c r="D9" t="inlineStr">
        <is>
          <t>ELIMINADO DOCUMENTO N° REGISTRO 1 DE LA HOJA DATOS</t>
        </is>
      </c>
    </row>
    <row r="10">
      <c r="A10" t="inlineStr">
        <is>
          <t>2026-10-25 23:57:09</t>
        </is>
      </c>
      <c r="B10" t="inlineStr">
        <is>
          <t>ADMIN</t>
        </is>
      </c>
      <c r="C10" t="inlineStr">
        <is>
          <t>ELIMINACIÓN DE REGISTRO</t>
        </is>
      </c>
      <c r="D10" t="inlineStr">
        <is>
          <t>ELIMINADO DOCUMENTO N° REGISTRO 36 DE LA HOJA DATOS</t>
        </is>
      </c>
    </row>
    <row r="11">
      <c r="A11" t="inlineStr">
        <is>
          <t>2026-10-25 23:57:13</t>
        </is>
      </c>
      <c r="B11" t="inlineStr">
        <is>
          <t>ADMIN</t>
        </is>
      </c>
      <c r="C11" t="inlineStr">
        <is>
          <t>ELIMINACIÓN DE REGISTRO</t>
        </is>
      </c>
      <c r="D11" t="inlineStr">
        <is>
          <t>ELIMINADO DOCUMENTO N° REGISTRO 2 DE LA HOJA DATOS</t>
        </is>
      </c>
    </row>
    <row r="12">
      <c r="A12" t="inlineStr">
        <is>
          <t>2026-10-25 23:57:19</t>
        </is>
      </c>
      <c r="B12" t="inlineStr">
        <is>
          <t>ADMIN</t>
        </is>
      </c>
      <c r="C12" t="inlineStr">
        <is>
          <t>REINICIO DE BASE DE DATOS</t>
        </is>
      </c>
      <c r="D12" t="inlineStr">
        <is>
          <t>SE HA LIMPIADO COMPLETAMENTE LA HOJA DE DATOS DE FACTURAS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COMPRAS-06</dc:creator>
  <dcterms:created xsi:type="dcterms:W3CDTF">2026-10-15T19:10:17Z</dcterms:created>
  <dcterms:modified xsi:type="dcterms:W3CDTF">2026-10-26T03:57:19Z</dcterms:modified>
  <cp:lastModifiedBy>COMPRAS-06</cp:lastModifiedBy>
  <cp:lastPrinted>2026-10-17T15:56:26Z</cp:lastPrinted>
</cp:coreProperties>
</file>